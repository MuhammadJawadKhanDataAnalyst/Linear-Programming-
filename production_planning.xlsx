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G:\Disk (G)\Air University MS Busines Analytics\Prescriptive Analytics\Final\Week-16_project\"/>
    </mc:Choice>
  </mc:AlternateContent>
  <xr:revisionPtr revIDLastSave="0" documentId="13_ncr:1_{EC101A07-18DC-4B0E-8EAC-20BE89761FD4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Production Planning" sheetId="1" r:id="rId1"/>
    <sheet name="Sheet1" sheetId="2" r:id="rId2"/>
    <sheet name="Resolved_Excel-Solver" sheetId="3" r:id="rId3"/>
    <sheet name="Sheet2" sheetId="4" r:id="rId4"/>
  </sheets>
  <definedNames>
    <definedName name="solver_adj" localSheetId="2" hidden="1">'Resolved_Excel-Solver'!$C$2:$C$3</definedName>
    <definedName name="solver_adj" localSheetId="3" hidden="1">Sheet2!$C$2:$C$3</definedName>
    <definedName name="solver_cvg" localSheetId="2" hidden="1">0.0001</definedName>
    <definedName name="solver_cvg" localSheetId="1" hidden="1">0.0001</definedName>
    <definedName name="solver_cvg" localSheetId="3" hidden="1">0.0001</definedName>
    <definedName name="solver_drv" localSheetId="2" hidden="1">2</definedName>
    <definedName name="solver_drv" localSheetId="1" hidden="1">2</definedName>
    <definedName name="solver_drv" localSheetId="3" hidden="1">1</definedName>
    <definedName name="solver_eng" localSheetId="2" hidden="1">1</definedName>
    <definedName name="solver_eng" localSheetId="1" hidden="1">1</definedName>
    <definedName name="solver_eng" localSheetId="3" hidden="1">2</definedName>
    <definedName name="solver_est" localSheetId="2" hidden="1">1</definedName>
    <definedName name="solver_est" localSheetId="1" hidden="1">1</definedName>
    <definedName name="solver_est" localSheetId="3" hidden="1">1</definedName>
    <definedName name="solver_itr" localSheetId="2" hidden="1">2147483647</definedName>
    <definedName name="solver_itr" localSheetId="1" hidden="1">2147483647</definedName>
    <definedName name="solver_itr" localSheetId="3" hidden="1">2147483647</definedName>
    <definedName name="solver_lhs1" localSheetId="2" hidden="1">'Resolved_Excel-Solver'!$B$2</definedName>
    <definedName name="solver_lhs1" localSheetId="3" hidden="1">Sheet2!$B$2</definedName>
    <definedName name="solver_lhs2" localSheetId="2" hidden="1">'Resolved_Excel-Solver'!$B$3</definedName>
    <definedName name="solver_lhs2" localSheetId="3" hidden="1">Sheet2!$B$3</definedName>
    <definedName name="solver_mip" localSheetId="2" hidden="1">2147483647</definedName>
    <definedName name="solver_mip" localSheetId="1" hidden="1">2147483647</definedName>
    <definedName name="solver_mip" localSheetId="3" hidden="1">2147483647</definedName>
    <definedName name="solver_mni" localSheetId="2" hidden="1">30</definedName>
    <definedName name="solver_mni" localSheetId="1" hidden="1">30</definedName>
    <definedName name="solver_mni" localSheetId="3" hidden="1">30</definedName>
    <definedName name="solver_mrt" localSheetId="2" hidden="1">0.075</definedName>
    <definedName name="solver_mrt" localSheetId="1" hidden="1">0.075</definedName>
    <definedName name="solver_mrt" localSheetId="3" hidden="1">0.075</definedName>
    <definedName name="solver_msl" localSheetId="2" hidden="1">2</definedName>
    <definedName name="solver_msl" localSheetId="1" hidden="1">2</definedName>
    <definedName name="solver_msl" localSheetId="3" hidden="1">2</definedName>
    <definedName name="solver_neg" localSheetId="2" hidden="1">1</definedName>
    <definedName name="solver_neg" localSheetId="1" hidden="1">1</definedName>
    <definedName name="solver_neg" localSheetId="3" hidden="1">1</definedName>
    <definedName name="solver_nod" localSheetId="2" hidden="1">2147483647</definedName>
    <definedName name="solver_nod" localSheetId="1" hidden="1">2147483647</definedName>
    <definedName name="solver_nod" localSheetId="3" hidden="1">2147483647</definedName>
    <definedName name="solver_num" localSheetId="2" hidden="1">2</definedName>
    <definedName name="solver_num" localSheetId="1" hidden="1">0</definedName>
    <definedName name="solver_num" localSheetId="3" hidden="1">2</definedName>
    <definedName name="solver_nwt" localSheetId="2" hidden="1">1</definedName>
    <definedName name="solver_nwt" localSheetId="1" hidden="1">1</definedName>
    <definedName name="solver_nwt" localSheetId="3" hidden="1">1</definedName>
    <definedName name="solver_opt" localSheetId="2" hidden="1">'Resolved_Excel-Solver'!$D$5</definedName>
    <definedName name="solver_opt" localSheetId="1" hidden="1">Sheet1!$A$3</definedName>
    <definedName name="solver_opt" localSheetId="3" hidden="1">Sheet2!$D$5</definedName>
    <definedName name="solver_pre" localSheetId="2" hidden="1">0.000001</definedName>
    <definedName name="solver_pre" localSheetId="1" hidden="1">0.000001</definedName>
    <definedName name="solver_pre" localSheetId="3" hidden="1">0.000001</definedName>
    <definedName name="solver_rbv" localSheetId="2" hidden="1">2</definedName>
    <definedName name="solver_rbv" localSheetId="1" hidden="1">2</definedName>
    <definedName name="solver_rbv" localSheetId="3" hidden="1">1</definedName>
    <definedName name="solver_rel1" localSheetId="2" hidden="1">1</definedName>
    <definedName name="solver_rel1" localSheetId="3" hidden="1">1</definedName>
    <definedName name="solver_rel2" localSheetId="2" hidden="1">1</definedName>
    <definedName name="solver_rel2" localSheetId="3" hidden="1">1</definedName>
    <definedName name="solver_rhs1" localSheetId="2" hidden="1">'Resolved_Excel-Solver'!$C$2</definedName>
    <definedName name="solver_rhs1" localSheetId="3" hidden="1">Sheet2!$C$2</definedName>
    <definedName name="solver_rhs2" localSheetId="2" hidden="1">'Resolved_Excel-Solver'!$C$3</definedName>
    <definedName name="solver_rhs2" localSheetId="3" hidden="1">Sheet2!$C$3</definedName>
    <definedName name="solver_rlx" localSheetId="2" hidden="1">2</definedName>
    <definedName name="solver_rlx" localSheetId="1" hidden="1">2</definedName>
    <definedName name="solver_rlx" localSheetId="3" hidden="1">2</definedName>
    <definedName name="solver_rsd" localSheetId="2" hidden="1">0</definedName>
    <definedName name="solver_rsd" localSheetId="1" hidden="1">0</definedName>
    <definedName name="solver_rsd" localSheetId="3" hidden="1">0</definedName>
    <definedName name="solver_scl" localSheetId="2" hidden="1">2</definedName>
    <definedName name="solver_scl" localSheetId="1" hidden="1">2</definedName>
    <definedName name="solver_scl" localSheetId="3" hidden="1">1</definedName>
    <definedName name="solver_sho" localSheetId="2" hidden="1">2</definedName>
    <definedName name="solver_sho" localSheetId="1" hidden="1">2</definedName>
    <definedName name="solver_sho" localSheetId="3" hidden="1">2</definedName>
    <definedName name="solver_ssz" localSheetId="2" hidden="1">100</definedName>
    <definedName name="solver_ssz" localSheetId="1" hidden="1">100</definedName>
    <definedName name="solver_ssz" localSheetId="3" hidden="1">100</definedName>
    <definedName name="solver_tim" localSheetId="2" hidden="1">2147483647</definedName>
    <definedName name="solver_tim" localSheetId="1" hidden="1">2147483647</definedName>
    <definedName name="solver_tim" localSheetId="3" hidden="1">2147483647</definedName>
    <definedName name="solver_tol" localSheetId="2" hidden="1">0.01</definedName>
    <definedName name="solver_tol" localSheetId="1" hidden="1">0.01</definedName>
    <definedName name="solver_tol" localSheetId="3" hidden="1">0.01</definedName>
    <definedName name="solver_typ" localSheetId="2" hidden="1">2</definedName>
    <definedName name="solver_typ" localSheetId="1" hidden="1">1</definedName>
    <definedName name="solver_typ" localSheetId="3" hidden="1">2</definedName>
    <definedName name="solver_val" localSheetId="2" hidden="1">0</definedName>
    <definedName name="solver_val" localSheetId="1" hidden="1">0</definedName>
    <definedName name="solver_val" localSheetId="3" hidden="1">0</definedName>
    <definedName name="solver_ver" localSheetId="2" hidden="1">3</definedName>
    <definedName name="solver_ver" localSheetId="1" hidden="1">3</definedName>
    <definedName name="solver_ver" localSheetId="3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4" l="1"/>
  <c r="D2" i="4"/>
  <c r="D3" i="3"/>
  <c r="D2" i="3"/>
  <c r="F5" i="2"/>
  <c r="F4" i="2"/>
  <c r="E5" i="2"/>
  <c r="E4" i="2"/>
  <c r="D5" i="4" l="1"/>
  <c r="D5" i="3"/>
</calcChain>
</file>

<file path=xl/sharedStrings.xml><?xml version="1.0" encoding="utf-8"?>
<sst xmlns="http://schemas.openxmlformats.org/spreadsheetml/2006/main" count="45" uniqueCount="30">
  <si>
    <t>Period</t>
  </si>
  <si>
    <t>Demand (Units)</t>
  </si>
  <si>
    <t>Production (Units)</t>
  </si>
  <si>
    <t>Inventory (Units)</t>
  </si>
  <si>
    <t>Production Cost</t>
  </si>
  <si>
    <t>Holding Cost</t>
  </si>
  <si>
    <t>Excel Structure</t>
  </si>
  <si>
    <t>Excel-Based Solution (How to Build)</t>
  </si>
  <si>
    <t>Month</t>
  </si>
  <si>
    <t>Demand</t>
  </si>
  <si>
    <t>Production</t>
  </si>
  <si>
    <t>Inventory</t>
  </si>
  <si>
    <t>Total Cost</t>
  </si>
  <si>
    <t>Inventory=Production−Demand</t>
  </si>
  <si>
    <r>
      <t xml:space="preserve">Production cost = </t>
    </r>
    <r>
      <rPr>
        <b/>
        <sz val="12"/>
        <color theme="1"/>
        <rFont val="Calibri"/>
        <family val="2"/>
        <scheme val="minor"/>
      </rPr>
      <t>10 per unit</t>
    </r>
  </si>
  <si>
    <t>D2: =10*C2</t>
  </si>
  <si>
    <t>D3: =10*C3</t>
  </si>
  <si>
    <t>C5: Total Cost</t>
  </si>
  <si>
    <t>D5: =SUM(D2:D3)</t>
  </si>
  <si>
    <t>D5 is your objective cell</t>
  </si>
  <si>
    <t>Set Objective:</t>
  </si>
  <si>
    <r>
      <t>Set Objective:</t>
    </r>
    <r>
      <rPr>
        <sz val="12"/>
        <color theme="1"/>
        <rFont val="Calibri"/>
        <family val="2"/>
        <scheme val="minor"/>
      </rPr>
      <t xml:space="preserve"> D5</t>
    </r>
  </si>
  <si>
    <r>
      <t xml:space="preserve">Select </t>
    </r>
    <r>
      <rPr>
        <b/>
        <sz val="12"/>
        <color theme="1"/>
        <rFont val="Calibri"/>
        <family val="2"/>
        <scheme val="minor"/>
      </rPr>
      <t>Min</t>
    </r>
  </si>
  <si>
    <t>By Changing Variable Cells:</t>
  </si>
  <si>
    <t>C2:C3</t>
  </si>
  <si>
    <t>Add Constraints (Only Two!)</t>
  </si>
  <si>
    <r>
      <t xml:space="preserve">Click </t>
    </r>
    <r>
      <rPr>
        <b/>
        <sz val="12"/>
        <color theme="1"/>
        <rFont val="Calibri"/>
        <family val="2"/>
        <scheme val="minor"/>
      </rPr>
      <t>Add</t>
    </r>
    <r>
      <rPr>
        <sz val="12"/>
        <color theme="1"/>
        <rFont val="Calibri"/>
        <family val="2"/>
        <scheme val="minor"/>
      </rPr>
      <t>:</t>
    </r>
  </si>
  <si>
    <t>C2 &gt;= B2</t>
  </si>
  <si>
    <t>C3 &gt;= B3</t>
  </si>
  <si>
    <t>(Production must meet demand)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</si>
</sst>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workbookViewId="0">
      <selection activeCell="G5" sqref="G5"/>
    </sheetView>
  </sheetViews>
  <sheetFormatPr defaultRowHeight="15" x14ac:dyDescent="0.25"/>
  <cols>
    <col min="2" max="2" width="15" bestFit="1" customWidth="1"/>
    <col min="3" max="3" width="17.42578125" bestFit="1" customWidth="1"/>
    <col min="4" max="4" width="16.140625" bestFit="1" customWidth="1"/>
    <col min="5" max="5" width="15.140625" bestFit="1" customWidth="1"/>
    <col min="6" max="6" width="12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500</v>
      </c>
      <c r="C2">
        <v>520</v>
      </c>
      <c r="D2">
        <v>20</v>
      </c>
      <c r="E2">
        <v>5200</v>
      </c>
      <c r="F2">
        <v>40</v>
      </c>
    </row>
    <row r="3" spans="1:6" x14ac:dyDescent="0.25">
      <c r="A3">
        <v>2</v>
      </c>
      <c r="B3">
        <v>600</v>
      </c>
      <c r="C3">
        <v>580</v>
      </c>
      <c r="D3">
        <v>0</v>
      </c>
      <c r="E3">
        <v>5800</v>
      </c>
      <c r="F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D3E91-2F20-4CEE-9767-8FE0AAC75B08}">
  <dimension ref="A1:O18"/>
  <sheetViews>
    <sheetView workbookViewId="0">
      <selection activeCell="D4" sqref="D4"/>
    </sheetView>
  </sheetViews>
  <sheetFormatPr defaultRowHeight="15" x14ac:dyDescent="0.25"/>
  <cols>
    <col min="2" max="2" width="11.42578125" customWidth="1"/>
    <col min="3" max="3" width="16.85546875" customWidth="1"/>
    <col min="4" max="4" width="13.28515625" customWidth="1"/>
    <col min="5" max="5" width="17.7109375" customWidth="1"/>
    <col min="6" max="6" width="14.5703125" customWidth="1"/>
  </cols>
  <sheetData>
    <row r="1" spans="1:14" x14ac:dyDescent="0.25">
      <c r="A1" s="3" t="s">
        <v>7</v>
      </c>
      <c r="B1" s="3"/>
      <c r="C1" s="3"/>
      <c r="D1" s="3"/>
    </row>
    <row r="2" spans="1:14" x14ac:dyDescent="0.25">
      <c r="A2" s="4" t="s">
        <v>6</v>
      </c>
      <c r="B2" s="4"/>
    </row>
    <row r="3" spans="1:14" x14ac:dyDescent="0.25">
      <c r="A3" s="1" t="s">
        <v>8</v>
      </c>
      <c r="B3" s="1" t="s">
        <v>9</v>
      </c>
      <c r="C3" s="1" t="s">
        <v>10</v>
      </c>
      <c r="D3" s="1" t="s">
        <v>11</v>
      </c>
      <c r="E3" s="1" t="s">
        <v>4</v>
      </c>
      <c r="F3" s="1" t="s">
        <v>5</v>
      </c>
    </row>
    <row r="4" spans="1:14" x14ac:dyDescent="0.25">
      <c r="A4" s="2">
        <v>1</v>
      </c>
      <c r="B4" s="2">
        <v>500</v>
      </c>
      <c r="C4" s="2">
        <v>500</v>
      </c>
      <c r="D4" s="2">
        <v>0</v>
      </c>
      <c r="E4" s="2">
        <f>10*C4</f>
        <v>5000</v>
      </c>
      <c r="F4" s="2">
        <f>2*D4</f>
        <v>0</v>
      </c>
    </row>
    <row r="5" spans="1:14" ht="15.75" customHeight="1" x14ac:dyDescent="0.25">
      <c r="A5" s="2">
        <v>2</v>
      </c>
      <c r="B5" s="2">
        <v>600</v>
      </c>
      <c r="C5" s="2">
        <v>600</v>
      </c>
      <c r="D5" s="2">
        <v>0</v>
      </c>
      <c r="E5" s="2">
        <f>10*C5</f>
        <v>6000</v>
      </c>
      <c r="F5" s="2">
        <f>2*D5</f>
        <v>0</v>
      </c>
      <c r="H5" s="7" t="s">
        <v>14</v>
      </c>
      <c r="I5" s="7"/>
      <c r="J5" s="7"/>
      <c r="L5" s="9" t="s">
        <v>20</v>
      </c>
      <c r="M5" s="9"/>
    </row>
    <row r="6" spans="1:14" ht="15.75" customHeight="1" x14ac:dyDescent="0.25">
      <c r="H6" s="7" t="s">
        <v>15</v>
      </c>
      <c r="I6" s="7"/>
      <c r="L6" s="9" t="s">
        <v>21</v>
      </c>
      <c r="M6" s="9"/>
    </row>
    <row r="7" spans="1:14" ht="15.75" customHeight="1" x14ac:dyDescent="0.25">
      <c r="H7" s="7" t="s">
        <v>16</v>
      </c>
      <c r="I7" s="7"/>
      <c r="L7" s="7" t="s">
        <v>22</v>
      </c>
      <c r="M7" s="7"/>
    </row>
    <row r="8" spans="1:14" x14ac:dyDescent="0.25">
      <c r="C8" s="5" t="s">
        <v>13</v>
      </c>
      <c r="D8" s="5"/>
    </row>
    <row r="10" spans="1:14" ht="15.75" x14ac:dyDescent="0.25">
      <c r="H10" s="7" t="s">
        <v>17</v>
      </c>
      <c r="I10" s="7"/>
      <c r="L10" s="9" t="s">
        <v>23</v>
      </c>
      <c r="M10" s="9"/>
      <c r="N10" s="9"/>
    </row>
    <row r="11" spans="1:14" ht="15.75" x14ac:dyDescent="0.25">
      <c r="H11" s="7" t="s">
        <v>18</v>
      </c>
      <c r="I11" s="7"/>
      <c r="L11" s="6" t="s">
        <v>24</v>
      </c>
    </row>
    <row r="12" spans="1:14" ht="15.75" x14ac:dyDescent="0.25">
      <c r="H12" s="8" t="s">
        <v>19</v>
      </c>
      <c r="I12" s="8"/>
      <c r="J12" s="8"/>
    </row>
    <row r="14" spans="1:14" ht="15.75" x14ac:dyDescent="0.25">
      <c r="L14" s="9" t="s">
        <v>25</v>
      </c>
      <c r="M14" s="9"/>
      <c r="N14" s="9"/>
    </row>
    <row r="15" spans="1:14" ht="15.75" x14ac:dyDescent="0.25">
      <c r="L15" s="6" t="s">
        <v>26</v>
      </c>
    </row>
    <row r="16" spans="1:14" ht="15.75" x14ac:dyDescent="0.25">
      <c r="L16" s="6" t="s">
        <v>27</v>
      </c>
    </row>
    <row r="17" spans="12:15" ht="15.75" x14ac:dyDescent="0.25">
      <c r="L17" s="6" t="s">
        <v>28</v>
      </c>
    </row>
    <row r="18" spans="12:15" ht="15.75" x14ac:dyDescent="0.25">
      <c r="L18" s="7" t="s">
        <v>29</v>
      </c>
      <c r="M18" s="7"/>
      <c r="N18" s="7"/>
      <c r="O18" s="7"/>
    </row>
  </sheetData>
  <mergeCells count="15">
    <mergeCell ref="L14:N14"/>
    <mergeCell ref="L18:O18"/>
    <mergeCell ref="H10:I10"/>
    <mergeCell ref="H11:I11"/>
    <mergeCell ref="H12:J12"/>
    <mergeCell ref="L5:M5"/>
    <mergeCell ref="L6:M6"/>
    <mergeCell ref="L7:M7"/>
    <mergeCell ref="L10:N10"/>
    <mergeCell ref="A1:D1"/>
    <mergeCell ref="A2:B2"/>
    <mergeCell ref="C8:D8"/>
    <mergeCell ref="H6:I6"/>
    <mergeCell ref="H7:I7"/>
    <mergeCell ref="H5:J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6A6EC-6405-4783-8DCB-BA232B81A6F2}">
  <dimension ref="A1:F5"/>
  <sheetViews>
    <sheetView workbookViewId="0">
      <selection sqref="A1:F5"/>
    </sheetView>
  </sheetViews>
  <sheetFormatPr defaultRowHeight="15" x14ac:dyDescent="0.25"/>
  <cols>
    <col min="3" max="3" width="12.140625" customWidth="1"/>
    <col min="4" max="4" width="17.42578125" customWidth="1"/>
    <col min="5" max="5" width="15.140625" customWidth="1"/>
    <col min="6" max="6" width="13.28515625" customWidth="1"/>
  </cols>
  <sheetData>
    <row r="1" spans="1:6" ht="30" x14ac:dyDescent="0.25">
      <c r="A1" s="1" t="s">
        <v>8</v>
      </c>
      <c r="B1" s="1" t="s">
        <v>9</v>
      </c>
      <c r="C1" s="1" t="s">
        <v>10</v>
      </c>
      <c r="D1" s="1" t="s">
        <v>4</v>
      </c>
      <c r="E1" s="1" t="s">
        <v>11</v>
      </c>
      <c r="F1" s="1" t="s">
        <v>5</v>
      </c>
    </row>
    <row r="2" spans="1:6" x14ac:dyDescent="0.25">
      <c r="A2">
        <v>1</v>
      </c>
      <c r="B2" s="2">
        <v>500</v>
      </c>
      <c r="C2">
        <v>500</v>
      </c>
      <c r="D2">
        <f>10*C2</f>
        <v>5000</v>
      </c>
    </row>
    <row r="3" spans="1:6" x14ac:dyDescent="0.25">
      <c r="A3">
        <v>2</v>
      </c>
      <c r="B3" s="2">
        <v>600</v>
      </c>
      <c r="C3">
        <v>600</v>
      </c>
      <c r="D3">
        <f>10*C3</f>
        <v>6000</v>
      </c>
    </row>
    <row r="5" spans="1:6" x14ac:dyDescent="0.25">
      <c r="C5" t="s">
        <v>12</v>
      </c>
      <c r="D5">
        <f>SUM(D2:D3)</f>
        <v>11000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646AB-2DF6-4271-9C46-438480F21103}">
  <dimension ref="A1:F5"/>
  <sheetViews>
    <sheetView tabSelected="1" workbookViewId="0">
      <selection activeCell="C3" sqref="C3"/>
    </sheetView>
  </sheetViews>
  <sheetFormatPr defaultRowHeight="15" x14ac:dyDescent="0.25"/>
  <cols>
    <col min="3" max="3" width="12.140625" customWidth="1"/>
    <col min="4" max="4" width="15.28515625" customWidth="1"/>
  </cols>
  <sheetData>
    <row r="1" spans="1:6" ht="30" x14ac:dyDescent="0.25">
      <c r="A1" s="1" t="s">
        <v>8</v>
      </c>
      <c r="B1" s="1" t="s">
        <v>9</v>
      </c>
      <c r="C1" s="1" t="s">
        <v>10</v>
      </c>
      <c r="D1" s="1" t="s">
        <v>4</v>
      </c>
      <c r="E1" s="1" t="s">
        <v>11</v>
      </c>
      <c r="F1" s="1" t="s">
        <v>5</v>
      </c>
    </row>
    <row r="2" spans="1:6" x14ac:dyDescent="0.25">
      <c r="A2">
        <v>1</v>
      </c>
      <c r="B2" s="2">
        <v>500</v>
      </c>
      <c r="C2">
        <v>500</v>
      </c>
      <c r="D2">
        <f>10*C2</f>
        <v>5000</v>
      </c>
    </row>
    <row r="3" spans="1:6" x14ac:dyDescent="0.25">
      <c r="A3">
        <v>2</v>
      </c>
      <c r="B3" s="2">
        <v>600</v>
      </c>
      <c r="C3">
        <v>600</v>
      </c>
      <c r="D3">
        <f>10*C3</f>
        <v>6000</v>
      </c>
    </row>
    <row r="5" spans="1:6" x14ac:dyDescent="0.25">
      <c r="C5" t="s">
        <v>12</v>
      </c>
      <c r="D5">
        <f>SUM(D2:D3)</f>
        <v>11000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Production Planning</vt:lpstr>
      <vt:lpstr>Sheet1</vt:lpstr>
      <vt:lpstr>Resolved_Excel-Solver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Haier</cp:lastModifiedBy>
  <dcterms:created xsi:type="dcterms:W3CDTF">2026-01-01T13:32:25Z</dcterms:created>
  <dcterms:modified xsi:type="dcterms:W3CDTF">2026-01-03T05:11:17Z</dcterms:modified>
</cp:coreProperties>
</file>